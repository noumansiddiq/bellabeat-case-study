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w Data" sheetId="2" state="visible" r:id="rId4"/>
    <sheet name="Summary &amp; Charts" sheetId="3" state="visible" r:id="rId5"/>
    <sheet name="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<sst xmlns="http://schemas.openxmlformats.org/spreadsheetml/2006/main" count="68" uniqueCount="68">
  <si>
    <t xml:space="preserve">BELLABEAT SMART DEVICE ANALYSIS</t>
  </si>
  <si>
    <t xml:space="preserve">Google Data Analytics Capstone — Nouman Siddiq</t>
  </si>
  <si>
    <t xml:space="preserve">THE PROBLEM</t>
  </si>
  <si>
    <t xml:space="preserve">Bellabeat, a wellness technology company making smart devices for women, wanted to understand how</t>
  </si>
  <si>
    <t xml:space="preserve">consumers use non-Bellabeat smart devices, to guide marketing strategy for their Leaf tracker.</t>
  </si>
  <si>
    <t xml:space="preserve">THE APPROACH</t>
  </si>
  <si>
    <t xml:space="preserve">Used a public FitBit dataset (30 users, 2016) covering daily activity, steps, sleep, and intensity minutes.</t>
  </si>
  <si>
    <t xml:space="preserve">Followed the full analysis cycle — ask, prepare, process, analyze, share, act. Limitations acknowledged:</t>
  </si>
  <si>
    <t xml:space="preserve">small sample size, dated collection period, self-selected participants (evaluated against ROCCC criteria:</t>
  </si>
  <si>
    <t xml:space="preserve">Reliable, Original, Comprehensive, Current, Cited).</t>
  </si>
  <si>
    <t xml:space="preserve">See 'Raw Data' for the per-user dataset, 'Summary &amp; Charts' for the aggregated findings, and</t>
  </si>
  <si>
    <t xml:space="preserve">'Recommendations' for the 3 marketing recommendations derived from this analysis.</t>
  </si>
  <si>
    <t xml:space="preserve">User ID</t>
  </si>
  <si>
    <t xml:space="preserve">Total Steps</t>
  </si>
  <si>
    <t xml:space="preserve">Sedentary Minutes</t>
  </si>
  <si>
    <t xml:space="preserve">Intense Minutes</t>
  </si>
  <si>
    <t xml:space="preserve">Sleep Hours</t>
  </si>
  <si>
    <t xml:space="preserve">Minutes Awake In Bed</t>
  </si>
  <si>
    <t xml:space="preserve">U001</t>
  </si>
  <si>
    <t xml:space="preserve">U002</t>
  </si>
  <si>
    <t xml:space="preserve">U003</t>
  </si>
  <si>
    <t xml:space="preserve">U004</t>
  </si>
  <si>
    <t xml:space="preserve">U005</t>
  </si>
  <si>
    <t xml:space="preserve">U006</t>
  </si>
  <si>
    <t xml:space="preserve">U007</t>
  </si>
  <si>
    <t xml:space="preserve">U008</t>
  </si>
  <si>
    <t xml:space="preserve">U009</t>
  </si>
  <si>
    <t xml:space="preserve">U010</t>
  </si>
  <si>
    <t xml:space="preserve">U011</t>
  </si>
  <si>
    <t xml:space="preserve">U012</t>
  </si>
  <si>
    <t xml:space="preserve">U013</t>
  </si>
  <si>
    <t xml:space="preserve">U014</t>
  </si>
  <si>
    <t xml:space="preserve">U015</t>
  </si>
  <si>
    <t xml:space="preserve">U016</t>
  </si>
  <si>
    <t xml:space="preserve">U017</t>
  </si>
  <si>
    <t xml:space="preserve">U018</t>
  </si>
  <si>
    <t xml:space="preserve">U019</t>
  </si>
  <si>
    <t xml:space="preserve">U020</t>
  </si>
  <si>
    <t xml:space="preserve">U021</t>
  </si>
  <si>
    <t xml:space="preserve">U022</t>
  </si>
  <si>
    <t xml:space="preserve">U023</t>
  </si>
  <si>
    <t xml:space="preserve">U024</t>
  </si>
  <si>
    <t xml:space="preserve">U025</t>
  </si>
  <si>
    <t xml:space="preserve">U026</t>
  </si>
  <si>
    <t xml:space="preserve">U027</t>
  </si>
  <si>
    <t xml:space="preserve">U028</t>
  </si>
  <si>
    <t xml:space="preserve">U029</t>
  </si>
  <si>
    <t xml:space="preserve">U030</t>
  </si>
  <si>
    <t xml:space="preserve">METRIC</t>
  </si>
  <si>
    <t xml:space="preserve">AVERAGE</t>
  </si>
  <si>
    <t xml:space="preserve">GOAL / BENCHMARK</t>
  </si>
  <si>
    <t xml:space="preserve">Average daily steps</t>
  </si>
  <si>
    <t xml:space="preserve">Average sedentary minutes/day</t>
  </si>
  <si>
    <t xml:space="preserve">Average intense activity minutes/day</t>
  </si>
  <si>
    <t xml:space="preserve">Average sleep hours/night</t>
  </si>
  <si>
    <t xml:space="preserve">Average minutes awake in bed/night</t>
  </si>
  <si>
    <t xml:space="preserve">RECOMMENDATION</t>
  </si>
  <si>
    <t xml:space="preserve">SUPPORTING INSIGHT</t>
  </si>
  <si>
    <t xml:space="preserve">EXPECTED IMPACT</t>
  </si>
  <si>
    <t xml:space="preserve">Daily step challenge
(targeted push notifications)</t>
  </si>
  <si>
    <t xml:space="preserve">Users average 8,319 steps/day, 16% below the WHO-recommended 10,000 goal.</t>
  </si>
  <si>
    <t xml:space="preserve">Increase Leaf app daily active users on low-engagement days (Friday, Sunday).</t>
  </si>
  <si>
    <t xml:space="preserve">Sedentary movement alerts
(hourly vibration reminder)</t>
  </si>
  <si>
    <t xml:space="preserve">Users spend 210 min/day sedentary with only 3.6 min of intense activity.</t>
  </si>
  <si>
    <t xml:space="preserve">Reduce sedentary time by 20-30%. Differentiate Leaf as a proactive health coach.</t>
  </si>
  <si>
    <t xml:space="preserve">Sleep quality programme
(wind-down and breathing exercises)</t>
  </si>
  <si>
    <t xml:space="preserve">Users waste 39 min/night awake in bed — 19+ hours of lost sleep monthly.</t>
  </si>
  <si>
    <t xml:space="preserve">Improve sleep efficiency score. Increase Bellabeat membership conversions.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</si>
</sst>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5C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5C4A"/>
        <bgColor rgb="FF003366"/>
      </patternFill>
    </fill>
    <fill>
      <patternFill patternType="solid">
        <fgColor rgb="FFD7EDE1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E0785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D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C8C6E"/>
      <rgbColor rgb="FF003300"/>
      <rgbColor rgb="FF333300"/>
      <rgbColor rgb="FF993300"/>
      <rgbColor rgb="FF993366"/>
      <rgbColor rgb="FF333399"/>
      <rgbColor rgb="FF1F5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steps vs WHO goal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3c8c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Charts'!$A$2</c:f>
              <c:strCache>
                <c:ptCount val="1"/>
                <c:pt idx="0">
                  <c:v>Average daily steps</c:v>
                </c:pt>
              </c:strCache>
            </c:strRef>
          </c:cat>
          <c:val>
            <c:numRef>
              <c:f>'Summary &amp; Charts'!$B$2</c:f>
              <c:numCache>
                <c:formatCode>0.0</c:formatCode>
                <c:ptCount val="1"/>
                <c:pt idx="0">
                  <c:v>8319.03333333333</c:v>
                </c:pt>
              </c:numCache>
            </c:numRef>
          </c:val>
        </c:ser>
        <c:gapWidth val="150"/>
        <c:overlap val="0"/>
        <c:axId val="43209111"/>
        <c:axId val="82516180"/>
      </c:barChart>
      <c:catAx>
        <c:axId val="4320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16180"/>
        <c:crosses val="autoZero"/>
        <c:auto val="1"/>
        <c:lblAlgn val="ctr"/>
        <c:lblOffset val="100"/>
        <c:noMultiLvlLbl val="0"/>
      </c:catAx>
      <c:valAx>
        <c:axId val="82516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09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Sedentary vs intense activity (minutes/day)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078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Charts'!$A$3:$A$4</c:f>
              <c:strCache>
                <c:ptCount val="2"/>
                <c:pt idx="0">
                  <c:v>Average sedentary minutes/day</c:v>
                </c:pt>
                <c:pt idx="1">
                  <c:v>Average intense activity minutes/day</c:v>
                </c:pt>
              </c:strCache>
            </c:strRef>
          </c:cat>
          <c:val>
            <c:numRef>
              <c:f>'Summary &amp; Charts'!$B$3:$B$4</c:f>
              <c:numCache>
                <c:formatCode>0.0</c:formatCode>
                <c:ptCount val="2"/>
                <c:pt idx="0">
                  <c:v>210.1</c:v>
                </c:pt>
                <c:pt idx="1">
                  <c:v>3.60666666666667</c:v>
                </c:pt>
              </c:numCache>
            </c:numRef>
          </c:val>
        </c:ser>
        <c:gapWidth val="150"/>
        <c:overlap val="0"/>
        <c:axId val="15251328"/>
        <c:axId val="46622515"/>
      </c:barChart>
      <c:catAx>
        <c:axId val="152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22515"/>
        <c:crosses val="autoZero"/>
        <c:auto val="1"/>
        <c:lblAlgn val="ctr"/>
        <c:lblOffset val="100"/>
        <c:noMultiLvlLbl val="0"/>
      </c:catAx>
      <c:valAx>
        <c:axId val="46622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51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Sleep hours vs 8 hour goal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3c8c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Charts'!$A$5</c:f>
              <c:strCache>
                <c:ptCount val="1"/>
                <c:pt idx="0">
                  <c:v>Average sleep hours/night</c:v>
                </c:pt>
              </c:strCache>
            </c:strRef>
          </c:cat>
          <c:val>
            <c:numRef>
              <c:f>'Summary &amp; Charts'!$B$5</c:f>
              <c:numCache>
                <c:formatCode>0.0</c:formatCode>
                <c:ptCount val="1"/>
                <c:pt idx="0">
                  <c:v>7.10766666666667</c:v>
                </c:pt>
              </c:numCache>
            </c:numRef>
          </c:val>
        </c:ser>
        <c:gapWidth val="150"/>
        <c:overlap val="0"/>
        <c:axId val="76802603"/>
        <c:axId val="53104972"/>
      </c:barChart>
      <c:catAx>
        <c:axId val="76802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04972"/>
        <c:crosses val="autoZero"/>
        <c:auto val="1"/>
        <c:lblAlgn val="ctr"/>
        <c:lblOffset val="100"/>
        <c:noMultiLvlLbl val="0"/>
      </c:catAx>
      <c:valAx>
        <c:axId val="53104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02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4699800" y="276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12</xdr:col>
      <xdr:colOff>147600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4699800" y="33242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33</xdr:row>
      <xdr:rowOff>0</xdr:rowOff>
    </xdr:from>
    <xdr:to>
      <xdr:col>12</xdr:col>
      <xdr:colOff>147600</xdr:colOff>
      <xdr:row>48</xdr:row>
      <xdr:rowOff>22320</xdr:rowOff>
    </xdr:to>
    <xdr:graphicFrame>
      <xdr:nvGraphicFramePr>
        <xdr:cNvPr id="2" name="Chart 3"/>
        <xdr:cNvGraphicFramePr/>
      </xdr:nvGraphicFramePr>
      <xdr:xfrm>
        <a:off x="4699800" y="6372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2" t="s">
        <v>1</v>
      </c>
    </row>
    <row r="4" customFormat="false" ht="15.75" hidden="false" customHeight="true" outlineLevel="0" collapsed="false">
      <c r="A4" s="2"/>
    </row>
    <row r="5" customFormat="false" ht="15.75" hidden="false" customHeight="true" outlineLevel="0" collapsed="false">
      <c r="A5" s="3" t="s">
        <v>2</v>
      </c>
    </row>
    <row r="6" customFormat="false" ht="15.75" hidden="false" customHeight="true" outlineLevel="0" collapsed="false">
      <c r="A6" s="2" t="s">
        <v>3</v>
      </c>
    </row>
    <row r="7" customFormat="false" ht="15.75" hidden="false" customHeight="true" outlineLevel="0" collapsed="false">
      <c r="A7" s="2" t="s">
        <v>4</v>
      </c>
    </row>
    <row r="8" customFormat="false" ht="15.75" hidden="false" customHeight="true" outlineLevel="0" collapsed="false">
      <c r="A8" s="2"/>
    </row>
    <row r="9" customFormat="false" ht="15.75" hidden="false" customHeight="true" outlineLevel="0" collapsed="false">
      <c r="A9" s="3" t="s">
        <v>5</v>
      </c>
    </row>
    <row r="10" customFormat="false" ht="15.75" hidden="false" customHeight="true" outlineLevel="0" collapsed="false">
      <c r="A10" s="2" t="s">
        <v>6</v>
      </c>
    </row>
    <row r="11" customFormat="false" ht="15.75" hidden="false" customHeight="true" outlineLevel="0" collapsed="false">
      <c r="A11" s="2" t="s">
        <v>7</v>
      </c>
    </row>
    <row r="12" customFormat="false" ht="15.75" hidden="false" customHeight="true" outlineLevel="0" collapsed="false">
      <c r="A12" s="2" t="s">
        <v>8</v>
      </c>
    </row>
    <row r="13" customFormat="false" ht="15.75" hidden="false" customHeight="true" outlineLevel="0" collapsed="false">
      <c r="A13" s="2" t="s">
        <v>9</v>
      </c>
    </row>
    <row r="14" customFormat="false" ht="15.75" hidden="false" customHeight="true" outlineLevel="0" collapsed="false">
      <c r="A14" s="2"/>
    </row>
    <row r="15" customFormat="false" ht="15.75" hidden="false" customHeight="true" outlineLevel="0" collapsed="false">
      <c r="A15" s="2" t="s">
        <v>10</v>
      </c>
    </row>
    <row r="16" customFormat="false" ht="15.75" hidden="false" customHeight="tru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customFormat="false" ht="15" hidden="false" customHeight="false" outlineLevel="0" collapsed="false">
      <c r="A2" s="5" t="s">
        <v>18</v>
      </c>
      <c r="B2" s="5" t="n">
        <v>8002</v>
      </c>
      <c r="C2" s="5" t="n">
        <v>236</v>
      </c>
      <c r="D2" s="5" t="n">
        <v>7.9</v>
      </c>
      <c r="E2" s="5" t="n">
        <v>7.96</v>
      </c>
      <c r="F2" s="5" t="n">
        <v>41</v>
      </c>
    </row>
    <row r="3" customFormat="false" ht="15" hidden="false" customHeight="false" outlineLevel="0" collapsed="false">
      <c r="A3" s="6" t="s">
        <v>19</v>
      </c>
      <c r="B3" s="6" t="n">
        <v>7939</v>
      </c>
      <c r="C3" s="6" t="n">
        <v>142</v>
      </c>
      <c r="D3" s="6" t="n">
        <v>3.3</v>
      </c>
      <c r="E3" s="6" t="n">
        <v>7.78</v>
      </c>
      <c r="F3" s="6" t="n">
        <v>17</v>
      </c>
    </row>
    <row r="4" customFormat="false" ht="15" hidden="false" customHeight="false" outlineLevel="0" collapsed="false">
      <c r="A4" s="5" t="s">
        <v>20</v>
      </c>
      <c r="B4" s="5" t="n">
        <v>8074</v>
      </c>
      <c r="C4" s="5" t="n">
        <v>92</v>
      </c>
      <c r="D4" s="5" t="n">
        <v>0</v>
      </c>
      <c r="E4" s="5" t="n">
        <v>7.23</v>
      </c>
      <c r="F4" s="5" t="n">
        <v>43</v>
      </c>
    </row>
    <row r="5" customFormat="false" ht="15" hidden="false" customHeight="false" outlineLevel="0" collapsed="false">
      <c r="A5" s="6" t="s">
        <v>21</v>
      </c>
      <c r="B5" s="6" t="n">
        <v>9863</v>
      </c>
      <c r="C5" s="6" t="n">
        <v>183</v>
      </c>
      <c r="D5" s="6" t="n">
        <v>2</v>
      </c>
      <c r="E5" s="6" t="n">
        <v>6.07</v>
      </c>
      <c r="F5" s="6" t="n">
        <v>17</v>
      </c>
    </row>
    <row r="6" customFormat="false" ht="15" hidden="false" customHeight="false" outlineLevel="0" collapsed="false">
      <c r="A6" s="5" t="s">
        <v>22</v>
      </c>
      <c r="B6" s="5" t="n">
        <v>8038</v>
      </c>
      <c r="C6" s="5" t="n">
        <v>169</v>
      </c>
      <c r="D6" s="5" t="n">
        <v>6.5</v>
      </c>
      <c r="E6" s="5" t="n">
        <v>7.79</v>
      </c>
      <c r="F6" s="5" t="n">
        <v>55</v>
      </c>
    </row>
    <row r="7" customFormat="false" ht="15" hidden="false" customHeight="false" outlineLevel="0" collapsed="false">
      <c r="A7" s="6" t="s">
        <v>23</v>
      </c>
      <c r="B7" s="6" t="n">
        <v>5025</v>
      </c>
      <c r="C7" s="6" t="n">
        <v>249</v>
      </c>
      <c r="D7" s="6" t="n">
        <v>0</v>
      </c>
      <c r="E7" s="6" t="n">
        <v>7.32</v>
      </c>
      <c r="F7" s="6" t="n">
        <v>39</v>
      </c>
    </row>
    <row r="8" customFormat="false" ht="15" hidden="false" customHeight="false" outlineLevel="0" collapsed="false">
      <c r="A8" s="5" t="s">
        <v>24</v>
      </c>
      <c r="B8" s="5" t="n">
        <v>9050</v>
      </c>
      <c r="C8" s="5" t="n">
        <v>240</v>
      </c>
      <c r="D8" s="5" t="n">
        <v>3.7</v>
      </c>
      <c r="E8" s="5" t="n">
        <v>8.08</v>
      </c>
      <c r="F8" s="5" t="n">
        <v>80</v>
      </c>
    </row>
    <row r="9" customFormat="false" ht="15" hidden="false" customHeight="false" outlineLevel="0" collapsed="false">
      <c r="A9" s="6" t="s">
        <v>25</v>
      </c>
      <c r="B9" s="6" t="n">
        <v>7731</v>
      </c>
      <c r="C9" s="6" t="n">
        <v>155</v>
      </c>
      <c r="D9" s="6" t="n">
        <v>4.4</v>
      </c>
      <c r="E9" s="6" t="n">
        <v>6.95</v>
      </c>
      <c r="F9" s="6" t="n">
        <v>44</v>
      </c>
    </row>
    <row r="10" customFormat="false" ht="15" hidden="false" customHeight="false" outlineLevel="0" collapsed="false">
      <c r="A10" s="5" t="s">
        <v>26</v>
      </c>
      <c r="B10" s="5" t="n">
        <v>7842</v>
      </c>
      <c r="C10" s="5" t="n">
        <v>248</v>
      </c>
      <c r="D10" s="5" t="n">
        <v>2.7</v>
      </c>
      <c r="E10" s="5" t="n">
        <v>8.74</v>
      </c>
      <c r="F10" s="5" t="n">
        <v>64</v>
      </c>
    </row>
    <row r="11" customFormat="false" ht="15" hidden="false" customHeight="false" outlineLevel="0" collapsed="false">
      <c r="A11" s="6" t="s">
        <v>27</v>
      </c>
      <c r="B11" s="6" t="n">
        <v>8574</v>
      </c>
      <c r="C11" s="6" t="n">
        <v>165</v>
      </c>
      <c r="D11" s="6" t="n">
        <v>5.8</v>
      </c>
      <c r="E11" s="6" t="n">
        <v>6.66</v>
      </c>
      <c r="F11" s="6" t="n">
        <v>16</v>
      </c>
    </row>
    <row r="12" customFormat="false" ht="15" hidden="false" customHeight="false" outlineLevel="0" collapsed="false">
      <c r="A12" s="5" t="s">
        <v>28</v>
      </c>
      <c r="B12" s="5" t="n">
        <v>8830</v>
      </c>
      <c r="C12" s="5" t="n">
        <v>206</v>
      </c>
      <c r="D12" s="5" t="n">
        <v>5.3</v>
      </c>
      <c r="E12" s="5" t="n">
        <v>8.41</v>
      </c>
      <c r="F12" s="5" t="n">
        <v>37</v>
      </c>
    </row>
    <row r="13" customFormat="false" ht="15" hidden="false" customHeight="false" outlineLevel="0" collapsed="false">
      <c r="A13" s="6" t="s">
        <v>29</v>
      </c>
      <c r="B13" s="6" t="n">
        <v>10879</v>
      </c>
      <c r="C13" s="6" t="n">
        <v>197</v>
      </c>
      <c r="D13" s="6" t="n">
        <v>10.6</v>
      </c>
      <c r="E13" s="6" t="n">
        <v>7.08</v>
      </c>
      <c r="F13" s="6" t="n">
        <v>45</v>
      </c>
    </row>
    <row r="14" customFormat="false" ht="15" hidden="false" customHeight="false" outlineLevel="0" collapsed="false">
      <c r="A14" s="5" t="s">
        <v>30</v>
      </c>
      <c r="B14" s="5" t="n">
        <v>9764</v>
      </c>
      <c r="C14" s="5" t="n">
        <v>215</v>
      </c>
      <c r="D14" s="5" t="n">
        <v>5.5</v>
      </c>
      <c r="E14" s="5" t="n">
        <v>6.52</v>
      </c>
      <c r="F14" s="5" t="n">
        <v>70</v>
      </c>
    </row>
    <row r="15" customFormat="false" ht="15" hidden="false" customHeight="false" outlineLevel="0" collapsed="false">
      <c r="A15" s="6" t="s">
        <v>31</v>
      </c>
      <c r="B15" s="6" t="n">
        <v>8562</v>
      </c>
      <c r="C15" s="6" t="n">
        <v>247</v>
      </c>
      <c r="D15" s="6" t="n">
        <v>1.8</v>
      </c>
      <c r="E15" s="6" t="n">
        <v>5.96</v>
      </c>
      <c r="F15" s="6" t="n">
        <v>9</v>
      </c>
    </row>
    <row r="16" customFormat="false" ht="15" hidden="false" customHeight="false" outlineLevel="0" collapsed="false">
      <c r="A16" s="5" t="s">
        <v>32</v>
      </c>
      <c r="B16" s="5" t="n">
        <v>6695</v>
      </c>
      <c r="C16" s="5" t="n">
        <v>239</v>
      </c>
      <c r="D16" s="5" t="n">
        <v>1.9</v>
      </c>
      <c r="E16" s="5" t="n">
        <v>6.84</v>
      </c>
      <c r="F16" s="5" t="n">
        <v>57</v>
      </c>
    </row>
    <row r="17" customFormat="false" ht="15" hidden="false" customHeight="false" outlineLevel="0" collapsed="false">
      <c r="A17" s="6" t="s">
        <v>33</v>
      </c>
      <c r="B17" s="6" t="n">
        <v>6087</v>
      </c>
      <c r="C17" s="6" t="n">
        <v>226</v>
      </c>
      <c r="D17" s="6" t="n">
        <v>1.1</v>
      </c>
      <c r="E17" s="6" t="n">
        <v>8.26</v>
      </c>
      <c r="F17" s="6" t="n">
        <v>50</v>
      </c>
    </row>
    <row r="18" customFormat="false" ht="15" hidden="false" customHeight="false" outlineLevel="0" collapsed="false">
      <c r="A18" s="5" t="s">
        <v>34</v>
      </c>
      <c r="B18" s="5" t="n">
        <v>8861</v>
      </c>
      <c r="C18" s="5" t="n">
        <v>239</v>
      </c>
      <c r="D18" s="5" t="n">
        <v>6.5</v>
      </c>
      <c r="E18" s="5" t="n">
        <v>7.71</v>
      </c>
      <c r="F18" s="5" t="n">
        <v>67</v>
      </c>
    </row>
    <row r="19" customFormat="false" ht="15" hidden="false" customHeight="false" outlineLevel="0" collapsed="false">
      <c r="A19" s="6" t="s">
        <v>35</v>
      </c>
      <c r="B19" s="6" t="n">
        <v>11203</v>
      </c>
      <c r="C19" s="6" t="n">
        <v>232</v>
      </c>
      <c r="D19" s="6" t="n">
        <v>1.9</v>
      </c>
      <c r="E19" s="6" t="n">
        <v>7.6</v>
      </c>
      <c r="F19" s="6" t="n">
        <v>52</v>
      </c>
    </row>
    <row r="20" customFormat="false" ht="15" hidden="false" customHeight="false" outlineLevel="0" collapsed="false">
      <c r="A20" s="5" t="s">
        <v>36</v>
      </c>
      <c r="B20" s="5" t="n">
        <v>8411</v>
      </c>
      <c r="C20" s="5" t="n">
        <v>182</v>
      </c>
      <c r="D20" s="5" t="n">
        <v>3.4</v>
      </c>
      <c r="E20" s="5" t="n">
        <v>4.84</v>
      </c>
      <c r="F20" s="5" t="n">
        <v>40</v>
      </c>
    </row>
    <row r="21" customFormat="false" ht="15" hidden="false" customHeight="false" outlineLevel="0" collapsed="false">
      <c r="A21" s="6" t="s">
        <v>37</v>
      </c>
      <c r="B21" s="6" t="n">
        <v>8085</v>
      </c>
      <c r="C21" s="6" t="n">
        <v>178</v>
      </c>
      <c r="D21" s="6" t="n">
        <v>5.8</v>
      </c>
      <c r="E21" s="6" t="n">
        <v>7.62</v>
      </c>
      <c r="F21" s="6" t="n">
        <v>30</v>
      </c>
    </row>
    <row r="22" customFormat="false" ht="15" hidden="false" customHeight="false" outlineLevel="0" collapsed="false">
      <c r="A22" s="5" t="s">
        <v>38</v>
      </c>
      <c r="B22" s="5" t="n">
        <v>9489</v>
      </c>
      <c r="C22" s="5" t="n">
        <v>189</v>
      </c>
      <c r="D22" s="5" t="n">
        <v>1.4</v>
      </c>
      <c r="E22" s="5" t="n">
        <v>7.48</v>
      </c>
      <c r="F22" s="5" t="n">
        <v>17</v>
      </c>
    </row>
    <row r="23" customFormat="false" ht="15" hidden="false" customHeight="false" outlineLevel="0" collapsed="false">
      <c r="A23" s="6" t="s">
        <v>39</v>
      </c>
      <c r="B23" s="6" t="n">
        <v>5121</v>
      </c>
      <c r="C23" s="6" t="n">
        <v>232</v>
      </c>
      <c r="D23" s="6" t="n">
        <v>2.7</v>
      </c>
      <c r="E23" s="6" t="n">
        <v>6.49</v>
      </c>
      <c r="F23" s="6" t="n">
        <v>43</v>
      </c>
    </row>
    <row r="24" customFormat="false" ht="15" hidden="false" customHeight="false" outlineLevel="0" collapsed="false">
      <c r="A24" s="5" t="s">
        <v>40</v>
      </c>
      <c r="B24" s="5" t="n">
        <v>7632</v>
      </c>
      <c r="C24" s="5" t="n">
        <v>199</v>
      </c>
      <c r="D24" s="5" t="n">
        <v>0</v>
      </c>
      <c r="E24" s="5" t="n">
        <v>6.42</v>
      </c>
      <c r="F24" s="5" t="n">
        <v>36</v>
      </c>
    </row>
    <row r="25" customFormat="false" ht="15" hidden="false" customHeight="false" outlineLevel="0" collapsed="false">
      <c r="A25" s="6" t="s">
        <v>41</v>
      </c>
      <c r="B25" s="6" t="n">
        <v>9398</v>
      </c>
      <c r="C25" s="6" t="n">
        <v>315</v>
      </c>
      <c r="D25" s="6" t="n">
        <v>0.4</v>
      </c>
      <c r="E25" s="6" t="n">
        <v>6.98</v>
      </c>
      <c r="F25" s="6" t="n">
        <v>75</v>
      </c>
    </row>
    <row r="26" customFormat="false" ht="15" hidden="false" customHeight="false" outlineLevel="0" collapsed="false">
      <c r="A26" s="5" t="s">
        <v>42</v>
      </c>
      <c r="B26" s="5" t="n">
        <v>10240</v>
      </c>
      <c r="C26" s="5" t="n">
        <v>173</v>
      </c>
      <c r="D26" s="5" t="n">
        <v>1.9</v>
      </c>
      <c r="E26" s="5" t="n">
        <v>8.53</v>
      </c>
      <c r="F26" s="5" t="n">
        <v>28</v>
      </c>
    </row>
    <row r="27" customFormat="false" ht="15" hidden="false" customHeight="false" outlineLevel="0" collapsed="false">
      <c r="A27" s="6" t="s">
        <v>43</v>
      </c>
      <c r="B27" s="6" t="n">
        <v>7790</v>
      </c>
      <c r="C27" s="6" t="n">
        <v>161</v>
      </c>
      <c r="D27" s="6" t="n">
        <v>4.8</v>
      </c>
      <c r="E27" s="6" t="n">
        <v>6.03</v>
      </c>
      <c r="F27" s="6" t="n">
        <v>45</v>
      </c>
    </row>
    <row r="28" customFormat="false" ht="15" hidden="false" customHeight="false" outlineLevel="0" collapsed="false">
      <c r="A28" s="5" t="s">
        <v>44</v>
      </c>
      <c r="B28" s="5" t="n">
        <v>9148</v>
      </c>
      <c r="C28" s="5" t="n">
        <v>245</v>
      </c>
      <c r="D28" s="5" t="n">
        <v>7.2</v>
      </c>
      <c r="E28" s="5" t="n">
        <v>6.59</v>
      </c>
      <c r="F28" s="5" t="n">
        <v>11</v>
      </c>
    </row>
    <row r="29" customFormat="false" ht="15" hidden="false" customHeight="false" outlineLevel="0" collapsed="false">
      <c r="A29" s="6" t="s">
        <v>45</v>
      </c>
      <c r="B29" s="6" t="n">
        <v>8865</v>
      </c>
      <c r="C29" s="6" t="n">
        <v>274</v>
      </c>
      <c r="D29" s="6" t="n">
        <v>3.5</v>
      </c>
      <c r="E29" s="6" t="n">
        <v>8.21</v>
      </c>
      <c r="F29" s="6" t="n">
        <v>32</v>
      </c>
    </row>
    <row r="30" customFormat="false" ht="15" hidden="false" customHeight="false" outlineLevel="0" collapsed="false">
      <c r="A30" s="5" t="s">
        <v>46</v>
      </c>
      <c r="B30" s="5" t="n">
        <v>10040</v>
      </c>
      <c r="C30" s="5" t="n">
        <v>233</v>
      </c>
      <c r="D30" s="5" t="n">
        <v>4.4</v>
      </c>
      <c r="E30" s="5" t="n">
        <v>6.58</v>
      </c>
      <c r="F30" s="5" t="n">
        <v>44</v>
      </c>
    </row>
    <row r="31" customFormat="false" ht="15" hidden="false" customHeight="false" outlineLevel="0" collapsed="false">
      <c r="A31" s="6" t="s">
        <v>47</v>
      </c>
      <c r="B31" s="6" t="n">
        <v>4333</v>
      </c>
      <c r="C31" s="6" t="n">
        <v>242</v>
      </c>
      <c r="D31" s="6" t="n">
        <v>1.8</v>
      </c>
      <c r="E31" s="6" t="n">
        <v>4.5</v>
      </c>
      <c r="F31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</cols>
  <sheetData>
    <row r="1" customFormat="false" ht="21.75" hidden="false" customHeight="true" outlineLevel="0" collapsed="false">
      <c r="A1" s="4" t="s">
        <v>48</v>
      </c>
      <c r="B1" s="4" t="s">
        <v>49</v>
      </c>
      <c r="C1" s="4" t="s">
        <v>50</v>
      </c>
    </row>
    <row r="2" customFormat="false" ht="15" hidden="false" customHeight="false" outlineLevel="0" collapsed="false">
      <c r="A2" s="7" t="s">
        <v>51</v>
      </c>
      <c r="B2" s="8" t="n">
        <f aca="false">AVERAGE('Raw Data'!B2:B31)</f>
        <v>8319.03333333333</v>
      </c>
      <c r="C2" s="9" t="n">
        <v>10000</v>
      </c>
    </row>
    <row r="3" customFormat="false" ht="15" hidden="false" customHeight="false" outlineLevel="0" collapsed="false">
      <c r="A3" s="10" t="s">
        <v>52</v>
      </c>
      <c r="B3" s="11" t="n">
        <f aca="false">AVERAGE('Raw Data'!C2:C31)</f>
        <v>210.1</v>
      </c>
      <c r="C3" s="12"/>
    </row>
    <row r="4" customFormat="false" ht="15" hidden="false" customHeight="false" outlineLevel="0" collapsed="false">
      <c r="A4" s="7" t="s">
        <v>53</v>
      </c>
      <c r="B4" s="8" t="n">
        <f aca="false">AVERAGE('Raw Data'!D2:D31)</f>
        <v>3.60666666666667</v>
      </c>
      <c r="C4" s="9" t="n">
        <v>30</v>
      </c>
    </row>
    <row r="5" customFormat="false" ht="15" hidden="false" customHeight="false" outlineLevel="0" collapsed="false">
      <c r="A5" s="10" t="s">
        <v>54</v>
      </c>
      <c r="B5" s="11" t="n">
        <f aca="false">AVERAGE('Raw Data'!E2:E31)</f>
        <v>7.10766666666667</v>
      </c>
      <c r="C5" s="13" t="n">
        <v>8</v>
      </c>
    </row>
    <row r="6" customFormat="false" ht="15" hidden="false" customHeight="false" outlineLevel="0" collapsed="false">
      <c r="A6" s="7" t="s">
        <v>55</v>
      </c>
      <c r="B6" s="8" t="n">
        <f aca="false">AVERAGE('Raw Data'!F2:F31)</f>
        <v>40.3</v>
      </c>
      <c r="C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24" hidden="false" customHeight="true" outlineLevel="0" collapsed="false">
      <c r="A1" s="4" t="s">
        <v>56</v>
      </c>
      <c r="B1" s="4" t="s">
        <v>57</v>
      </c>
      <c r="C1" s="4" t="s">
        <v>58</v>
      </c>
    </row>
    <row r="2" customFormat="false" ht="60" hidden="false" customHeight="true" outlineLevel="0" collapsed="false">
      <c r="A2" s="15" t="s">
        <v>59</v>
      </c>
      <c r="B2" s="16" t="s">
        <v>60</v>
      </c>
      <c r="C2" s="16" t="s">
        <v>61</v>
      </c>
    </row>
    <row r="3" customFormat="false" ht="60" hidden="false" customHeight="true" outlineLevel="0" collapsed="false">
      <c r="A3" s="17" t="s">
        <v>62</v>
      </c>
      <c r="B3" s="18" t="s">
        <v>63</v>
      </c>
      <c r="C3" s="18" t="s">
        <v>64</v>
      </c>
    </row>
    <row r="4" customFormat="false" ht="60" hidden="false" customHeight="true" outlineLevel="0" collapsed="false">
      <c r="A4" s="15" t="s">
        <v>65</v>
      </c>
      <c r="B4" s="16" t="s">
        <v>66</v>
      </c>
      <c r="C4" s="1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2026-07-16T09:28:32Z</dcterms:created>
  <dc:creator>openpyxl</dc:creator>
  <dc:description/>
  <dc:language>en-US</dc:language>
  <cp:lastModifiedBy/>
  <dcterms:modified xsi:type="dcterms:W3CDTF">2026-07-16T09:28:39Z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